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rwal\Dropbox\Trading\"/>
    </mc:Choice>
  </mc:AlternateContent>
  <xr:revisionPtr revIDLastSave="0" documentId="13_ncr:1_{B67C5CB5-07E0-4711-B4AF-39C06B320034}" xr6:coauthVersionLast="47" xr6:coauthVersionMax="47" xr10:uidLastSave="{00000000-0000-0000-0000-000000000000}"/>
  <bookViews>
    <workbookView xWindow="390" yWindow="90" windowWidth="26415" windowHeight="15390" xr2:uid="{67A77B05-6177-4216-A1EE-2CA57635EF9B}"/>
  </bookViews>
  <sheets>
    <sheet name="Calculations" sheetId="1" r:id="rId1"/>
    <sheet name="Params" sheetId="2" r:id="rId2"/>
    <sheet name="Misc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3" l="1"/>
  <c r="H8" i="3"/>
  <c r="O18" i="1"/>
  <c r="O19" i="1" s="1"/>
  <c r="O24" i="1" s="1"/>
  <c r="L18" i="1"/>
  <c r="L19" i="1" s="1"/>
  <c r="L24" i="1" s="1"/>
  <c r="I18" i="1"/>
  <c r="I19" i="1" s="1"/>
  <c r="I24" i="1" s="1"/>
  <c r="F18" i="1"/>
  <c r="F19" i="1" s="1"/>
  <c r="F24" i="1" s="1"/>
  <c r="C18" i="1"/>
  <c r="C19" i="1" s="1"/>
  <c r="O40" i="1"/>
  <c r="O41" i="1" s="1"/>
  <c r="L40" i="1"/>
  <c r="L41" i="1" s="1"/>
  <c r="I40" i="1"/>
  <c r="I41" i="1" s="1"/>
  <c r="F40" i="1"/>
  <c r="F41" i="1" s="1"/>
  <c r="C40" i="1"/>
  <c r="C41" i="1" s="1"/>
  <c r="O20" i="1"/>
  <c r="O21" i="1" s="1"/>
  <c r="O25" i="1" s="1"/>
  <c r="O33" i="1"/>
  <c r="O14" i="1" s="1"/>
  <c r="O32" i="1"/>
  <c r="N32" i="1"/>
  <c r="O31" i="1"/>
  <c r="L20" i="1"/>
  <c r="L21" i="1" s="1"/>
  <c r="L25" i="1" s="1"/>
  <c r="L33" i="1"/>
  <c r="L14" i="1" s="1"/>
  <c r="L32" i="1"/>
  <c r="K32" i="1"/>
  <c r="L31" i="1"/>
  <c r="I20" i="1"/>
  <c r="I21" i="1" s="1"/>
  <c r="I25" i="1" s="1"/>
  <c r="I33" i="1"/>
  <c r="I14" i="1" s="1"/>
  <c r="I32" i="1"/>
  <c r="H32" i="1"/>
  <c r="I31" i="1"/>
  <c r="F20" i="1"/>
  <c r="F21" i="1" s="1"/>
  <c r="F25" i="1" s="1"/>
  <c r="F33" i="1"/>
  <c r="F14" i="1" s="1"/>
  <c r="F32" i="1"/>
  <c r="E32" i="1"/>
  <c r="F31" i="1"/>
  <c r="C20" i="1"/>
  <c r="C21" i="1" s="1"/>
  <c r="C25" i="1" s="1"/>
  <c r="C31" i="1"/>
  <c r="C32" i="1"/>
  <c r="C33" i="1"/>
  <c r="C14" i="1" s="1"/>
  <c r="B32" i="1"/>
  <c r="O34" i="1" l="1"/>
  <c r="O35" i="1" s="1"/>
  <c r="L34" i="1"/>
  <c r="L35" i="1" s="1"/>
  <c r="F34" i="1"/>
  <c r="F35" i="1" s="1"/>
  <c r="I34" i="1"/>
  <c r="I35" i="1" s="1"/>
  <c r="C34" i="1"/>
  <c r="C35" i="1" s="1"/>
  <c r="C24" i="1"/>
</calcChain>
</file>

<file path=xl/sharedStrings.xml><?xml version="1.0" encoding="utf-8"?>
<sst xmlns="http://schemas.openxmlformats.org/spreadsheetml/2006/main" count="129" uniqueCount="32">
  <si>
    <t>Multiplier</t>
  </si>
  <si>
    <t>Params</t>
  </si>
  <si>
    <t>USD/SEK exchange-rate</t>
  </si>
  <si>
    <t>ATR Multiplier</t>
  </si>
  <si>
    <t>Max Loss in $</t>
  </si>
  <si>
    <t>Max Loss in SEK</t>
  </si>
  <si>
    <t xml:space="preserve">Input </t>
  </si>
  <si>
    <t>Contract price</t>
  </si>
  <si>
    <t>Output</t>
  </si>
  <si>
    <t>Win in $</t>
  </si>
  <si>
    <t>No of contracts</t>
  </si>
  <si>
    <t>Win in SEK</t>
  </si>
  <si>
    <t>ATR Value</t>
  </si>
  <si>
    <t>MES1!</t>
  </si>
  <si>
    <t>Win Rate</t>
  </si>
  <si>
    <t>ATR Value * Multiplier</t>
  </si>
  <si>
    <t>Stop loss</t>
  </si>
  <si>
    <t>Stop loss in tics</t>
  </si>
  <si>
    <t>MNQ</t>
  </si>
  <si>
    <t>MES1</t>
  </si>
  <si>
    <t>MNQ1</t>
  </si>
  <si>
    <t>M2K1</t>
  </si>
  <si>
    <t>MYM1</t>
  </si>
  <si>
    <t>MCL1</t>
  </si>
  <si>
    <t>M2K</t>
  </si>
  <si>
    <t>MYM</t>
  </si>
  <si>
    <t>MCL</t>
  </si>
  <si>
    <t>Stop loss in ticks</t>
  </si>
  <si>
    <t>ATR Win Multiplier</t>
  </si>
  <si>
    <t>Position size</t>
  </si>
  <si>
    <t>Worth in $</t>
  </si>
  <si>
    <t>Worth in SEK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</si>
</sst>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3" fontId="0" fillId="0" borderId="0" xfId="0" applyNumberFormat="1"/>
    <xf numFmtId="3" fontId="2" fillId="0" borderId="0" xfId="0" applyNumberFormat="1" applyFont="1"/>
    <xf numFmtId="0" fontId="3" fillId="0" borderId="0" xfId="0" applyFont="1"/>
    <xf numFmtId="4" fontId="0" fillId="0" borderId="0" xfId="0" applyNumberFormat="1"/>
    <xf numFmtId="3" fontId="4" fillId="0" borderId="0" xfId="0" applyNumberFormat="1" applyFont="1"/>
    <xf numFmtId="0" fontId="5" fillId="2" borderId="0" xfId="0" applyFont="1" applyFill="1"/>
    <xf numFmtId="3" fontId="5" fillId="2" borderId="0" xfId="0" applyNumberFormat="1" applyFont="1" applyFill="1"/>
    <xf numFmtId="3" fontId="4" fillId="3" borderId="0" xfId="0" applyNumberFormat="1" applyFont="1" applyFill="1"/>
    <xf numFmtId="164" fontId="4" fillId="3" borderId="0" xfId="0" applyNumberFormat="1" applyFont="1" applyFill="1"/>
    <xf numFmtId="10" fontId="4" fillId="3" borderId="0" xfId="1" applyNumberFormat="1" applyFont="1" applyFill="1"/>
    <xf numFmtId="3" fontId="4" fillId="4" borderId="0" xfId="0" applyNumberFormat="1" applyFont="1" applyFill="1"/>
    <xf numFmtId="4" fontId="4" fillId="3" borderId="0" xfId="0" applyNumberFormat="1" applyFont="1" applyFill="1"/>
    <xf numFmtId="164" fontId="4" fillId="4" borderId="0" xfId="0" applyNumberFormat="1" applyFont="1" applyFill="1"/>
  </cellXfs>
  <cellStyles count="2">
    <cellStyle name="Normal" xfId="0" builtinId="0"/>
    <cellStyle name="Pro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66FE9-D4A7-4F21-8676-79C14F15B954}">
  <dimension ref="B2:O41"/>
  <sheetViews>
    <sheetView tabSelected="1" topLeftCell="A3" zoomScale="80" zoomScaleNormal="80" workbookViewId="0">
      <selection activeCell="C20" sqref="C20"/>
    </sheetView>
  </sheetViews>
  <sheetFormatPr defaultRowHeight="15" x14ac:dyDescent="0.25"/>
  <cols>
    <col min="2" max="2" width="24.7109375" bestFit="1" customWidth="1"/>
    <col min="3" max="3" width="12.140625" bestFit="1" customWidth="1"/>
    <col min="4" max="4" width="8.28515625" customWidth="1"/>
    <col min="5" max="5" width="24.7109375" bestFit="1" customWidth="1"/>
    <col min="6" max="6" width="15.28515625" bestFit="1" customWidth="1"/>
    <col min="8" max="8" width="24.7109375" bestFit="1" customWidth="1"/>
    <col min="9" max="9" width="11.42578125" customWidth="1"/>
    <col min="11" max="11" width="24.7109375" bestFit="1" customWidth="1"/>
    <col min="12" max="12" width="21.7109375" bestFit="1" customWidth="1"/>
    <col min="13" max="13" width="9.42578125" bestFit="1" customWidth="1"/>
    <col min="14" max="14" width="24.7109375" bestFit="1" customWidth="1"/>
    <col min="15" max="15" width="12.140625" bestFit="1" customWidth="1"/>
  </cols>
  <sheetData>
    <row r="2" spans="2:15" ht="18.75" x14ac:dyDescent="0.3">
      <c r="B2" s="4" t="s">
        <v>13</v>
      </c>
      <c r="E2" s="4" t="s">
        <v>18</v>
      </c>
      <c r="H2" s="4" t="s">
        <v>24</v>
      </c>
      <c r="K2" s="4" t="s">
        <v>25</v>
      </c>
      <c r="N2" s="4" t="s">
        <v>26</v>
      </c>
    </row>
    <row r="4" spans="2:15" ht="18.75" x14ac:dyDescent="0.3">
      <c r="B4" s="4" t="s">
        <v>6</v>
      </c>
      <c r="C4" s="6"/>
      <c r="D4" s="6"/>
      <c r="E4" s="4" t="s">
        <v>6</v>
      </c>
      <c r="F4" s="6"/>
      <c r="H4" s="4" t="s">
        <v>6</v>
      </c>
      <c r="I4" s="6"/>
      <c r="K4" s="4" t="s">
        <v>6</v>
      </c>
      <c r="L4" s="6"/>
      <c r="N4" s="4" t="s">
        <v>6</v>
      </c>
      <c r="O4" s="6"/>
    </row>
    <row r="5" spans="2:15" ht="18.75" x14ac:dyDescent="0.3">
      <c r="B5" s="4"/>
      <c r="C5" s="6"/>
      <c r="D5" s="6"/>
      <c r="E5" s="4"/>
      <c r="F5" s="6"/>
      <c r="H5" s="4"/>
      <c r="I5" s="6"/>
      <c r="K5" s="4"/>
      <c r="L5" s="6"/>
      <c r="N5" s="4"/>
      <c r="O5" s="6"/>
    </row>
    <row r="6" spans="2:15" ht="15.75" x14ac:dyDescent="0.25">
      <c r="B6" t="s">
        <v>12</v>
      </c>
      <c r="C6" s="10">
        <v>5</v>
      </c>
      <c r="D6" s="6"/>
      <c r="E6" t="s">
        <v>12</v>
      </c>
      <c r="F6" s="10">
        <v>15</v>
      </c>
      <c r="H6" t="s">
        <v>12</v>
      </c>
      <c r="I6" s="10">
        <v>1.46</v>
      </c>
      <c r="K6" t="s">
        <v>12</v>
      </c>
      <c r="L6" s="10">
        <v>19.399999999999999</v>
      </c>
      <c r="N6" t="s">
        <v>12</v>
      </c>
      <c r="O6" s="13">
        <v>0.17</v>
      </c>
    </row>
    <row r="7" spans="2:15" ht="15.75" x14ac:dyDescent="0.25">
      <c r="B7" t="s">
        <v>3</v>
      </c>
      <c r="C7" s="10">
        <v>1.5</v>
      </c>
      <c r="D7" s="6"/>
      <c r="E7" t="s">
        <v>3</v>
      </c>
      <c r="F7" s="10">
        <v>1.2</v>
      </c>
      <c r="H7" t="s">
        <v>3</v>
      </c>
      <c r="I7" s="10">
        <v>1.2</v>
      </c>
      <c r="K7" t="s">
        <v>3</v>
      </c>
      <c r="L7" s="10">
        <v>1.2</v>
      </c>
      <c r="N7" t="s">
        <v>3</v>
      </c>
      <c r="O7" s="10">
        <v>1.2</v>
      </c>
    </row>
    <row r="8" spans="2:15" ht="15.75" x14ac:dyDescent="0.25">
      <c r="B8" t="s">
        <v>28</v>
      </c>
      <c r="C8" s="10">
        <v>3</v>
      </c>
      <c r="D8" s="6"/>
      <c r="E8" t="s">
        <v>28</v>
      </c>
      <c r="F8" s="10">
        <v>2</v>
      </c>
      <c r="H8" t="s">
        <v>28</v>
      </c>
      <c r="I8" s="10">
        <v>2</v>
      </c>
      <c r="K8" t="s">
        <v>28</v>
      </c>
      <c r="L8" s="10">
        <v>2</v>
      </c>
      <c r="N8" t="s">
        <v>28</v>
      </c>
      <c r="O8" s="10">
        <v>2</v>
      </c>
    </row>
    <row r="9" spans="2:15" ht="15.75" x14ac:dyDescent="0.25">
      <c r="B9" t="s">
        <v>7</v>
      </c>
      <c r="C9" s="9">
        <v>6880</v>
      </c>
      <c r="D9" s="6"/>
      <c r="E9" t="s">
        <v>7</v>
      </c>
      <c r="F9" s="9">
        <v>25194</v>
      </c>
      <c r="H9" t="s">
        <v>7</v>
      </c>
      <c r="I9" s="9">
        <v>2644</v>
      </c>
      <c r="K9" t="s">
        <v>7</v>
      </c>
      <c r="L9" s="9">
        <v>48849</v>
      </c>
      <c r="N9" t="s">
        <v>7</v>
      </c>
      <c r="O9" s="9">
        <v>74</v>
      </c>
    </row>
    <row r="10" spans="2:15" s="1" customFormat="1" ht="15.75" x14ac:dyDescent="0.25">
      <c r="B10" t="s">
        <v>10</v>
      </c>
      <c r="C10" s="9">
        <v>1</v>
      </c>
      <c r="D10" s="6"/>
      <c r="E10" t="s">
        <v>10</v>
      </c>
      <c r="F10" s="9">
        <v>3</v>
      </c>
      <c r="H10" t="s">
        <v>10</v>
      </c>
      <c r="I10" s="9">
        <v>11</v>
      </c>
      <c r="K10" t="s">
        <v>10</v>
      </c>
      <c r="L10" s="9">
        <v>6</v>
      </c>
      <c r="N10" t="s">
        <v>10</v>
      </c>
      <c r="O10" s="9">
        <v>20</v>
      </c>
    </row>
    <row r="11" spans="2:15" s="1" customFormat="1" ht="14.25" customHeight="1" x14ac:dyDescent="0.25">
      <c r="B11"/>
      <c r="C11" s="6"/>
      <c r="D11" s="6"/>
      <c r="E11"/>
      <c r="F11" s="6"/>
      <c r="H11"/>
      <c r="I11" s="6"/>
      <c r="K11"/>
      <c r="L11" s="6"/>
      <c r="N11"/>
      <c r="O11" s="6"/>
    </row>
    <row r="12" spans="2:15" ht="18.75" x14ac:dyDescent="0.3">
      <c r="B12" s="4" t="s">
        <v>16</v>
      </c>
      <c r="C12" s="6"/>
      <c r="D12" s="6"/>
      <c r="E12" s="4" t="s">
        <v>16</v>
      </c>
      <c r="F12" s="6"/>
      <c r="H12" s="4" t="s">
        <v>16</v>
      </c>
      <c r="I12" s="6"/>
      <c r="K12" s="4" t="s">
        <v>16</v>
      </c>
      <c r="L12" s="6"/>
      <c r="N12" s="4" t="s">
        <v>16</v>
      </c>
      <c r="O12" s="6"/>
    </row>
    <row r="13" spans="2:15" ht="15.75" x14ac:dyDescent="0.25">
      <c r="C13" s="6"/>
      <c r="D13" s="6"/>
      <c r="F13" s="6"/>
      <c r="I13" s="6"/>
      <c r="L13" s="6"/>
      <c r="O13" s="6"/>
    </row>
    <row r="14" spans="2:15" ht="18.75" x14ac:dyDescent="0.3">
      <c r="B14" s="4" t="s">
        <v>27</v>
      </c>
      <c r="C14" s="12">
        <f>C33*4</f>
        <v>30</v>
      </c>
      <c r="D14" s="6"/>
      <c r="E14" t="s">
        <v>17</v>
      </c>
      <c r="F14" s="12">
        <f>F33*4</f>
        <v>72</v>
      </c>
      <c r="H14" t="s">
        <v>17</v>
      </c>
      <c r="I14" s="12">
        <f>I33*10</f>
        <v>17.52</v>
      </c>
      <c r="K14" t="s">
        <v>17</v>
      </c>
      <c r="L14" s="12">
        <f>L33*1</f>
        <v>23.279999999999998</v>
      </c>
      <c r="N14" t="s">
        <v>17</v>
      </c>
      <c r="O14" s="12">
        <f>O33*100</f>
        <v>20.400000000000002</v>
      </c>
    </row>
    <row r="15" spans="2:15" s="4" customFormat="1" ht="18.75" x14ac:dyDescent="0.3"/>
    <row r="16" spans="2:15" ht="18.75" x14ac:dyDescent="0.3">
      <c r="B16" s="4" t="s">
        <v>8</v>
      </c>
      <c r="C16" s="6"/>
      <c r="D16" s="6"/>
      <c r="E16" s="4" t="s">
        <v>8</v>
      </c>
      <c r="F16" s="6"/>
      <c r="G16" s="2"/>
      <c r="H16" s="4" t="s">
        <v>8</v>
      </c>
      <c r="I16" s="6"/>
      <c r="J16" s="2"/>
      <c r="K16" s="4" t="s">
        <v>8</v>
      </c>
      <c r="L16" s="6"/>
      <c r="N16" s="4" t="s">
        <v>8</v>
      </c>
      <c r="O16" s="6"/>
    </row>
    <row r="17" spans="2:15" ht="18.75" x14ac:dyDescent="0.3">
      <c r="B17" s="4"/>
      <c r="C17" s="6"/>
      <c r="D17" s="6"/>
      <c r="E17" s="4"/>
      <c r="F17" s="6"/>
      <c r="G17" s="2"/>
      <c r="H17" s="4"/>
      <c r="I17" s="6"/>
      <c r="J17" s="2"/>
      <c r="K17" s="4"/>
      <c r="L17" s="6"/>
      <c r="N17" s="4"/>
      <c r="O17" s="6"/>
    </row>
    <row r="18" spans="2:15" ht="15.75" x14ac:dyDescent="0.25">
      <c r="B18" t="s">
        <v>9</v>
      </c>
      <c r="C18" s="12">
        <f>C6*C8*Calculations!C10*C10*Params!C11</f>
        <v>75</v>
      </c>
      <c r="D18" s="6"/>
      <c r="E18" t="s">
        <v>9</v>
      </c>
      <c r="F18" s="12">
        <f>F6*F8*Calculations!F10*F10*Params!C12</f>
        <v>540</v>
      </c>
      <c r="G18" s="2"/>
      <c r="H18" t="s">
        <v>9</v>
      </c>
      <c r="I18" s="12">
        <f>I6*I8*Calculations!I10*I10*Params!C13</f>
        <v>1766.6</v>
      </c>
      <c r="J18" s="2"/>
      <c r="K18" t="s">
        <v>9</v>
      </c>
      <c r="L18" s="12">
        <f>L6*L8*Calculations!L10*L10*Params!C14</f>
        <v>698.4</v>
      </c>
      <c r="N18" t="s">
        <v>9</v>
      </c>
      <c r="O18" s="12">
        <f>O6*O8*Calculations!O10*O10*Params!C15</f>
        <v>13600</v>
      </c>
    </row>
    <row r="19" spans="2:15" ht="15.75" x14ac:dyDescent="0.25">
      <c r="B19" t="s">
        <v>11</v>
      </c>
      <c r="C19" s="12">
        <f>C18*Params!$B$7</f>
        <v>670.5</v>
      </c>
      <c r="D19" s="6"/>
      <c r="E19" t="s">
        <v>11</v>
      </c>
      <c r="F19" s="12">
        <f>F18*Params!$B$7</f>
        <v>4827.5999999999995</v>
      </c>
      <c r="G19" s="2"/>
      <c r="H19" t="s">
        <v>11</v>
      </c>
      <c r="I19" s="12">
        <f>I18*Params!$B$7</f>
        <v>15793.403999999999</v>
      </c>
      <c r="J19" s="2"/>
      <c r="K19" t="s">
        <v>11</v>
      </c>
      <c r="L19" s="12">
        <f>L18*Params!$B$7</f>
        <v>6243.695999999999</v>
      </c>
      <c r="N19" t="s">
        <v>11</v>
      </c>
      <c r="O19" s="12">
        <f>O18*Params!$B$7</f>
        <v>121584</v>
      </c>
    </row>
    <row r="20" spans="2:15" s="1" customFormat="1" ht="15.75" x14ac:dyDescent="0.25">
      <c r="B20" t="s">
        <v>4</v>
      </c>
      <c r="C20" s="12">
        <f>C6*Params!$C$11*C7*C10</f>
        <v>37.5</v>
      </c>
      <c r="D20" s="6"/>
      <c r="E20" t="s">
        <v>4</v>
      </c>
      <c r="F20" s="12">
        <f>F6*Params!$C$12*F7*F10</f>
        <v>108</v>
      </c>
      <c r="G20" s="3"/>
      <c r="H20" t="s">
        <v>4</v>
      </c>
      <c r="I20" s="12">
        <f>I6*Params!$C$13*I7*I10</f>
        <v>96.36</v>
      </c>
      <c r="J20" s="3"/>
      <c r="K20" t="s">
        <v>4</v>
      </c>
      <c r="L20" s="12">
        <f>L6*Params!$C$14*L7*L10</f>
        <v>69.839999999999989</v>
      </c>
      <c r="N20" t="s">
        <v>4</v>
      </c>
      <c r="O20" s="12">
        <f>O6*Params!$C$15*O7*O10</f>
        <v>408</v>
      </c>
    </row>
    <row r="21" spans="2:15" ht="15.75" x14ac:dyDescent="0.25">
      <c r="B21" t="s">
        <v>5</v>
      </c>
      <c r="C21" s="12">
        <f>C20*Params!B7</f>
        <v>335.25</v>
      </c>
      <c r="D21" s="6"/>
      <c r="E21" t="s">
        <v>5</v>
      </c>
      <c r="F21" s="12">
        <f>F20*Params!$B$7</f>
        <v>965.52</v>
      </c>
      <c r="G21" s="2"/>
      <c r="H21" t="s">
        <v>5</v>
      </c>
      <c r="I21" s="12">
        <f>I20*Params!$B$7</f>
        <v>861.45839999999998</v>
      </c>
      <c r="J21" s="2"/>
      <c r="K21" t="s">
        <v>5</v>
      </c>
      <c r="L21" s="12">
        <f>L20*Params!$B$7</f>
        <v>624.36959999999988</v>
      </c>
      <c r="N21" t="s">
        <v>5</v>
      </c>
      <c r="O21" s="12">
        <f>O20*Params!$B$7</f>
        <v>3647.52</v>
      </c>
    </row>
    <row r="22" spans="2:15" ht="15.75" x14ac:dyDescent="0.25">
      <c r="B22" s="1"/>
      <c r="C22" s="6"/>
      <c r="D22" s="6"/>
      <c r="E22" s="1"/>
      <c r="F22" s="6"/>
      <c r="G22" s="2"/>
      <c r="H22" s="1"/>
      <c r="I22" s="6"/>
      <c r="J22" s="2"/>
      <c r="K22" s="1"/>
      <c r="L22" s="6"/>
      <c r="N22" s="1"/>
      <c r="O22" s="6"/>
    </row>
    <row r="23" spans="2:15" ht="15.75" x14ac:dyDescent="0.25">
      <c r="C23" s="6"/>
      <c r="D23" s="6"/>
      <c r="F23" s="6"/>
      <c r="G23" s="2"/>
      <c r="I23" s="6"/>
      <c r="J23" s="2"/>
      <c r="L23" s="6"/>
      <c r="O23" s="6"/>
    </row>
    <row r="24" spans="2:15" ht="18.75" x14ac:dyDescent="0.3">
      <c r="B24" s="7" t="s">
        <v>11</v>
      </c>
      <c r="C24" s="8">
        <f>C19</f>
        <v>670.5</v>
      </c>
      <c r="D24" s="6"/>
      <c r="E24" s="7" t="s">
        <v>11</v>
      </c>
      <c r="F24" s="8">
        <f>F19</f>
        <v>4827.5999999999995</v>
      </c>
      <c r="G24" s="2"/>
      <c r="H24" s="7" t="s">
        <v>11</v>
      </c>
      <c r="I24" s="8">
        <f>I19</f>
        <v>15793.403999999999</v>
      </c>
      <c r="J24" s="2"/>
      <c r="K24" s="7" t="s">
        <v>11</v>
      </c>
      <c r="L24" s="8">
        <f>L19</f>
        <v>6243.695999999999</v>
      </c>
      <c r="N24" s="7" t="s">
        <v>11</v>
      </c>
      <c r="O24" s="8">
        <f>O19</f>
        <v>121584</v>
      </c>
    </row>
    <row r="25" spans="2:15" ht="18.75" x14ac:dyDescent="0.3">
      <c r="B25" s="7" t="s">
        <v>5</v>
      </c>
      <c r="C25" s="8">
        <f>C21</f>
        <v>335.25</v>
      </c>
      <c r="D25" s="6"/>
      <c r="E25" s="7" t="s">
        <v>5</v>
      </c>
      <c r="F25" s="8">
        <f>F21</f>
        <v>965.52</v>
      </c>
      <c r="G25" s="2"/>
      <c r="H25" s="7" t="s">
        <v>5</v>
      </c>
      <c r="I25" s="8">
        <f>I21</f>
        <v>861.45839999999998</v>
      </c>
      <c r="J25" s="2"/>
      <c r="K25" s="7" t="s">
        <v>5</v>
      </c>
      <c r="L25" s="8">
        <f>L21</f>
        <v>624.36959999999988</v>
      </c>
      <c r="N25" s="7" t="s">
        <v>5</v>
      </c>
      <c r="O25" s="8">
        <f>O21</f>
        <v>3647.52</v>
      </c>
    </row>
    <row r="26" spans="2:15" ht="15.75" x14ac:dyDescent="0.25">
      <c r="C26" s="6"/>
      <c r="D26" s="6"/>
      <c r="F26" s="6"/>
      <c r="G26" s="2"/>
      <c r="I26" s="6"/>
      <c r="J26" s="2"/>
      <c r="L26" s="6"/>
      <c r="O26" s="6"/>
    </row>
    <row r="27" spans="2:15" ht="15.75" x14ac:dyDescent="0.25">
      <c r="B27" t="s">
        <v>14</v>
      </c>
      <c r="C27" s="11">
        <v>0.67</v>
      </c>
      <c r="D27" s="6"/>
      <c r="E27" t="s">
        <v>14</v>
      </c>
      <c r="F27" s="11">
        <v>0.67</v>
      </c>
      <c r="G27" s="2"/>
      <c r="H27" t="s">
        <v>14</v>
      </c>
      <c r="I27" s="11">
        <v>0.67</v>
      </c>
      <c r="J27" s="2"/>
      <c r="K27" t="s">
        <v>14</v>
      </c>
      <c r="L27" s="11">
        <v>0.67</v>
      </c>
      <c r="N27" t="s">
        <v>14</v>
      </c>
      <c r="O27" s="11">
        <v>0.67</v>
      </c>
    </row>
    <row r="28" spans="2:15" ht="15.75" x14ac:dyDescent="0.25">
      <c r="C28" s="6"/>
      <c r="D28" s="6"/>
      <c r="F28" s="6"/>
      <c r="G28" s="2"/>
      <c r="I28" s="6"/>
      <c r="J28" s="2"/>
      <c r="L28" s="6"/>
      <c r="O28" s="6"/>
    </row>
    <row r="29" spans="2:15" ht="18.75" x14ac:dyDescent="0.3">
      <c r="B29" s="4" t="s">
        <v>10</v>
      </c>
      <c r="C29" s="6"/>
      <c r="D29" s="6"/>
      <c r="E29" s="4" t="s">
        <v>10</v>
      </c>
      <c r="F29" s="6"/>
      <c r="G29" s="2"/>
      <c r="H29" s="4" t="s">
        <v>10</v>
      </c>
      <c r="I29" s="6"/>
      <c r="J29" s="2"/>
      <c r="K29" s="4" t="s">
        <v>10</v>
      </c>
      <c r="L29" s="6"/>
      <c r="N29" s="4" t="s">
        <v>10</v>
      </c>
      <c r="O29" s="6"/>
    </row>
    <row r="30" spans="2:15" ht="15.75" x14ac:dyDescent="0.25">
      <c r="C30" s="6"/>
      <c r="D30" s="6"/>
      <c r="F30" s="6"/>
      <c r="G30" s="2"/>
      <c r="I30" s="6"/>
      <c r="J30" s="2"/>
      <c r="L30" s="6"/>
      <c r="O30" s="6"/>
    </row>
    <row r="31" spans="2:15" ht="15.75" x14ac:dyDescent="0.25">
      <c r="B31" t="s">
        <v>10</v>
      </c>
      <c r="C31" s="12">
        <f>C10</f>
        <v>1</v>
      </c>
      <c r="D31" s="6"/>
      <c r="E31" t="s">
        <v>10</v>
      </c>
      <c r="F31" s="12">
        <f>F10</f>
        <v>3</v>
      </c>
      <c r="H31" t="s">
        <v>10</v>
      </c>
      <c r="I31" s="12">
        <f>I10</f>
        <v>11</v>
      </c>
      <c r="K31" t="s">
        <v>10</v>
      </c>
      <c r="L31" s="12">
        <f>L10</f>
        <v>6</v>
      </c>
      <c r="N31" t="s">
        <v>10</v>
      </c>
      <c r="O31" s="12">
        <f>O10</f>
        <v>20</v>
      </c>
    </row>
    <row r="32" spans="2:15" ht="15.75" x14ac:dyDescent="0.25">
      <c r="B32" t="str">
        <f>B6</f>
        <v>ATR Value</v>
      </c>
      <c r="C32" s="14">
        <f>C6</f>
        <v>5</v>
      </c>
      <c r="D32" s="6"/>
      <c r="E32" t="str">
        <f>E6</f>
        <v>ATR Value</v>
      </c>
      <c r="F32" s="12">
        <f>F6</f>
        <v>15</v>
      </c>
      <c r="H32" t="str">
        <f>H6</f>
        <v>ATR Value</v>
      </c>
      <c r="I32" s="12">
        <f>I6</f>
        <v>1.46</v>
      </c>
      <c r="K32" t="str">
        <f>K6</f>
        <v>ATR Value</v>
      </c>
      <c r="L32" s="12">
        <f>L6</f>
        <v>19.399999999999999</v>
      </c>
      <c r="N32" t="str">
        <f>N6</f>
        <v>ATR Value</v>
      </c>
      <c r="O32" s="12">
        <f>O6</f>
        <v>0.17</v>
      </c>
    </row>
    <row r="33" spans="2:15" ht="15.75" x14ac:dyDescent="0.25">
      <c r="B33" t="s">
        <v>15</v>
      </c>
      <c r="C33" s="14">
        <f>C7*C6</f>
        <v>7.5</v>
      </c>
      <c r="D33" s="6"/>
      <c r="E33" t="s">
        <v>15</v>
      </c>
      <c r="F33" s="12">
        <f>F7*F6</f>
        <v>18</v>
      </c>
      <c r="H33" t="s">
        <v>15</v>
      </c>
      <c r="I33" s="12">
        <f>I7*I6</f>
        <v>1.752</v>
      </c>
      <c r="K33" t="s">
        <v>15</v>
      </c>
      <c r="L33" s="12">
        <f>L7*L6</f>
        <v>23.279999999999998</v>
      </c>
      <c r="N33" t="s">
        <v>15</v>
      </c>
      <c r="O33" s="12">
        <f>O7*O6</f>
        <v>0.20400000000000001</v>
      </c>
    </row>
    <row r="34" spans="2:15" ht="15.75" x14ac:dyDescent="0.25">
      <c r="B34" t="s">
        <v>4</v>
      </c>
      <c r="C34" s="12">
        <f>C33*Params!$C$11*Calculations!C31</f>
        <v>37.5</v>
      </c>
      <c r="D34" s="6"/>
      <c r="E34" t="s">
        <v>4</v>
      </c>
      <c r="F34" s="12">
        <f>F33*Params!$C$12*Calculations!F31</f>
        <v>108</v>
      </c>
      <c r="H34" t="s">
        <v>4</v>
      </c>
      <c r="I34" s="12">
        <f>I33*Params!$C$13*Calculations!I31</f>
        <v>96.36</v>
      </c>
      <c r="K34" t="s">
        <v>4</v>
      </c>
      <c r="L34" s="12">
        <f>L33*Params!$C$14*Calculations!L31</f>
        <v>69.839999999999989</v>
      </c>
      <c r="N34" t="s">
        <v>4</v>
      </c>
      <c r="O34" s="12">
        <f>O33*Params!$C$15*Calculations!O31</f>
        <v>408.00000000000006</v>
      </c>
    </row>
    <row r="35" spans="2:15" ht="18.75" x14ac:dyDescent="0.3">
      <c r="B35" s="7" t="s">
        <v>5</v>
      </c>
      <c r="C35" s="8">
        <f>C34*Params!$B$7</f>
        <v>335.25</v>
      </c>
      <c r="D35" s="6"/>
      <c r="E35" s="7" t="s">
        <v>5</v>
      </c>
      <c r="F35" s="8">
        <f>F34*Params!$B$7</f>
        <v>965.52</v>
      </c>
      <c r="H35" s="7" t="s">
        <v>5</v>
      </c>
      <c r="I35" s="8">
        <f>I34*Params!$B$7</f>
        <v>861.45839999999998</v>
      </c>
      <c r="K35" s="7" t="s">
        <v>5</v>
      </c>
      <c r="L35" s="8">
        <f>L34*Params!$B$7</f>
        <v>624.36959999999988</v>
      </c>
      <c r="N35" s="7" t="s">
        <v>5</v>
      </c>
      <c r="O35" s="8">
        <f>O34*Params!$B$7</f>
        <v>3647.5200000000004</v>
      </c>
    </row>
    <row r="36" spans="2:15" ht="15.75" x14ac:dyDescent="0.25">
      <c r="C36" s="6"/>
      <c r="D36" s="6"/>
      <c r="F36" s="6"/>
      <c r="I36" s="6"/>
      <c r="L36" s="6"/>
      <c r="O36" s="6"/>
    </row>
    <row r="37" spans="2:15" ht="15.75" x14ac:dyDescent="0.25">
      <c r="C37" s="6"/>
      <c r="D37" s="6"/>
    </row>
    <row r="38" spans="2:15" ht="18.75" x14ac:dyDescent="0.3">
      <c r="B38" s="4" t="s">
        <v>29</v>
      </c>
    </row>
    <row r="40" spans="2:15" ht="18.75" x14ac:dyDescent="0.3">
      <c r="B40" s="8" t="s">
        <v>30</v>
      </c>
      <c r="C40" s="8">
        <f>C9*C10*Params!C11</f>
        <v>34400</v>
      </c>
      <c r="E40" s="8" t="s">
        <v>30</v>
      </c>
      <c r="F40" s="8">
        <f>F9*F10*Params!C12</f>
        <v>151164</v>
      </c>
      <c r="H40" s="8" t="s">
        <v>30</v>
      </c>
      <c r="I40" s="8">
        <f>I9*I10*Params!C13</f>
        <v>145420</v>
      </c>
      <c r="K40" s="8" t="s">
        <v>30</v>
      </c>
      <c r="L40" s="8">
        <f>L9*L10*Params!C14</f>
        <v>146547</v>
      </c>
      <c r="N40" s="8" t="s">
        <v>30</v>
      </c>
      <c r="O40" s="8">
        <f>O9*O10*Params!C15</f>
        <v>148000</v>
      </c>
    </row>
    <row r="41" spans="2:15" ht="18.75" x14ac:dyDescent="0.3">
      <c r="B41" s="8" t="s">
        <v>31</v>
      </c>
      <c r="C41" s="8">
        <f>C40*Params!$B$7</f>
        <v>307536</v>
      </c>
      <c r="E41" s="8" t="s">
        <v>31</v>
      </c>
      <c r="F41" s="8">
        <f>F40*Params!$B$7</f>
        <v>1351406.16</v>
      </c>
      <c r="H41" s="8" t="s">
        <v>31</v>
      </c>
      <c r="I41" s="8">
        <f>I40*Params!$B$7</f>
        <v>1300054.7999999998</v>
      </c>
      <c r="K41" s="8" t="s">
        <v>31</v>
      </c>
      <c r="L41" s="8">
        <f>L40*Params!$B$7</f>
        <v>1310130.18</v>
      </c>
      <c r="N41" s="8" t="s">
        <v>31</v>
      </c>
      <c r="O41" s="8">
        <f>O40*Params!$B$7</f>
        <v>1323120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E9A60-D9D5-4038-922F-789FA5DCF862}">
  <dimension ref="B4:C15"/>
  <sheetViews>
    <sheetView workbookViewId="0">
      <selection activeCell="F17" sqref="F17"/>
    </sheetView>
  </sheetViews>
  <sheetFormatPr defaultRowHeight="15" x14ac:dyDescent="0.25"/>
  <cols>
    <col min="2" max="2" width="21.7109375" bestFit="1" customWidth="1"/>
  </cols>
  <sheetData>
    <row r="4" spans="2:3" x14ac:dyDescent="0.25">
      <c r="B4" s="1" t="s">
        <v>1</v>
      </c>
      <c r="C4" s="1"/>
    </row>
    <row r="5" spans="2:3" x14ac:dyDescent="0.25">
      <c r="B5" s="1"/>
      <c r="C5" s="1"/>
    </row>
    <row r="6" spans="2:3" x14ac:dyDescent="0.25">
      <c r="B6" s="2" t="s">
        <v>2</v>
      </c>
    </row>
    <row r="7" spans="2:3" x14ac:dyDescent="0.25">
      <c r="B7" s="5">
        <v>8.94</v>
      </c>
    </row>
    <row r="10" spans="2:3" x14ac:dyDescent="0.25">
      <c r="C10" t="s">
        <v>0</v>
      </c>
    </row>
    <row r="11" spans="2:3" x14ac:dyDescent="0.25">
      <c r="B11" t="s">
        <v>19</v>
      </c>
      <c r="C11">
        <v>5</v>
      </c>
    </row>
    <row r="12" spans="2:3" x14ac:dyDescent="0.25">
      <c r="B12" t="s">
        <v>20</v>
      </c>
      <c r="C12">
        <v>2</v>
      </c>
    </row>
    <row r="13" spans="2:3" x14ac:dyDescent="0.25">
      <c r="B13" t="s">
        <v>21</v>
      </c>
      <c r="C13">
        <v>5</v>
      </c>
    </row>
    <row r="14" spans="2:3" x14ac:dyDescent="0.25">
      <c r="B14" t="s">
        <v>22</v>
      </c>
      <c r="C14">
        <v>0.5</v>
      </c>
    </row>
    <row r="15" spans="2:3" x14ac:dyDescent="0.25">
      <c r="B15" t="s">
        <v>23</v>
      </c>
      <c r="C15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A692E-B842-4990-BBA7-FF94BA50BC96}">
  <dimension ref="H7:H9"/>
  <sheetViews>
    <sheetView workbookViewId="0">
      <selection activeCell="F19" sqref="F19"/>
    </sheetView>
  </sheetViews>
  <sheetFormatPr defaultRowHeight="15" x14ac:dyDescent="0.25"/>
  <cols>
    <col min="8" max="8" width="10.28515625" customWidth="1"/>
  </cols>
  <sheetData>
    <row r="7" spans="8:8" x14ac:dyDescent="0.25">
      <c r="H7">
        <v>24</v>
      </c>
    </row>
    <row r="8" spans="8:8" x14ac:dyDescent="0.25">
      <c r="H8">
        <f>Params!B7*Misc!H7</f>
        <v>214.56</v>
      </c>
    </row>
    <row r="9" spans="8:8" x14ac:dyDescent="0.25">
      <c r="H9">
        <f>10*H8</f>
        <v>2145.6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3</vt:i4>
      </vt:variant>
    </vt:vector>
  </HeadingPairs>
  <TitlesOfParts>
    <vt:vector size="3" baseType="lpstr">
      <vt:lpstr>Calculations</vt:lpstr>
      <vt:lpstr>Params</vt:lpstr>
      <vt:lpstr>Misc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Wallin</dc:creator>
  <cp:lastModifiedBy>Peter Wallin</cp:lastModifiedBy>
  <dcterms:created xsi:type="dcterms:W3CDTF">2026-02-13T13:06:36Z</dcterms:created>
  <dcterms:modified xsi:type="dcterms:W3CDTF">2026-03-25T13:21:16Z</dcterms:modified>
</cp:coreProperties>
</file>